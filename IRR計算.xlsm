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程式集\"/>
    </mc:Choice>
  </mc:AlternateContent>
  <xr:revisionPtr revIDLastSave="0" documentId="13_ncr:1_{79918F8C-3052-444A-8996-D0F11C3CA99D}" xr6:coauthVersionLast="47" xr6:coauthVersionMax="47" xr10:uidLastSave="{00000000-0000-0000-0000-000000000000}"/>
  <bookViews>
    <workbookView xWindow="-110" yWindow="-110" windowWidth="19420" windowHeight="10420" xr2:uid="{2C9CB804-7191-4232-AFD1-91D52D19ABC1}"/>
  </bookViews>
  <sheets>
    <sheet name="工作表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5" i="1" l="1"/>
  <c r="E3" i="1"/>
  <c r="E5" i="1"/>
  <c r="E4" i="1"/>
  <c r="E15" i="1" l="1"/>
</calcChain>
</file>

<file path=xl/sharedStrings.xml><?xml version="1.0" encoding="utf-8"?>
<sst xmlns="http://schemas.openxmlformats.org/spreadsheetml/2006/main" count="8" uniqueCount="8">
  <si>
    <t>IRR計算</t>
    <phoneticPr fontId="1" type="noConversion"/>
  </si>
  <si>
    <t>輸入C:</t>
    <phoneticPr fontId="1" type="noConversion"/>
  </si>
  <si>
    <t>輸入成本:</t>
    <phoneticPr fontId="1" type="noConversion"/>
  </si>
  <si>
    <t>IRR預估:</t>
    <phoneticPr fontId="1" type="noConversion"/>
  </si>
  <si>
    <t>NPV:</t>
    <phoneticPr fontId="1" type="noConversion"/>
  </si>
  <si>
    <t>年</t>
    <phoneticPr fontId="1" type="noConversion"/>
  </si>
  <si>
    <t>現金流量</t>
    <phoneticPr fontId="1" type="noConversion"/>
  </si>
  <si>
    <t>IRR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</si>
</sst>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%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 style="medium">
        <color indexed="64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 style="medium">
        <color indexed="64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medium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9" fontId="0" fillId="0" borderId="0" xfId="0" applyNumberForma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176" fontId="0" fillId="0" borderId="11" xfId="0" applyNumberForma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0</xdr:row>
      <xdr:rowOff>114300</xdr:rowOff>
    </xdr:from>
    <xdr:to>
      <xdr:col>3</xdr:col>
      <xdr:colOff>514350</xdr:colOff>
      <xdr:row>1</xdr:row>
      <xdr:rowOff>203200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D725E7D4-6FAC-47AA-BBC9-20C19ADB50CA}"/>
            </a:ext>
          </a:extLst>
        </xdr:cNvPr>
        <xdr:cNvSpPr txBox="1"/>
      </xdr:nvSpPr>
      <xdr:spPr>
        <a:xfrm>
          <a:off x="1581150" y="114300"/>
          <a:ext cx="857250" cy="31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直覺算法</a:t>
          </a:r>
        </a:p>
      </xdr:txBody>
    </xdr:sp>
    <xdr:clientData/>
  </xdr:twoCellAnchor>
  <xdr:twoCellAnchor>
    <xdr:from>
      <xdr:col>6</xdr:col>
      <xdr:colOff>133350</xdr:colOff>
      <xdr:row>0</xdr:row>
      <xdr:rowOff>107950</xdr:rowOff>
    </xdr:from>
    <xdr:to>
      <xdr:col>7</xdr:col>
      <xdr:colOff>381000</xdr:colOff>
      <xdr:row>1</xdr:row>
      <xdr:rowOff>196850</xdr:rowOff>
    </xdr:to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AB6A4344-C147-49F9-925C-30D8F6B0560B}"/>
            </a:ext>
          </a:extLst>
        </xdr:cNvPr>
        <xdr:cNvSpPr txBox="1"/>
      </xdr:nvSpPr>
      <xdr:spPr>
        <a:xfrm>
          <a:off x="3886200" y="107950"/>
          <a:ext cx="857250" cy="31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公式算法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7C9FA-D4F4-4FE6-A4EB-537A524B4FB3}">
  <sheetPr codeName="工作表1"/>
  <dimension ref="A1:I16"/>
  <sheetViews>
    <sheetView tabSelected="1" workbookViewId="0">
      <selection activeCell="L6" sqref="L6"/>
    </sheetView>
  </sheetViews>
  <sheetFormatPr defaultRowHeight="17" x14ac:dyDescent="0.4"/>
  <cols>
    <col min="1" max="1" width="10.08984375" customWidth="1"/>
    <col min="9" max="9" width="9.26953125" customWidth="1"/>
    <col min="11" max="12" width="8.6328125" customWidth="1"/>
  </cols>
  <sheetData>
    <row r="1" spans="1:9" ht="18" thickTop="1" thickBot="1" x14ac:dyDescent="0.45">
      <c r="A1" s="2" t="s">
        <v>0</v>
      </c>
      <c r="B1" s="3"/>
      <c r="C1" s="3"/>
      <c r="D1" s="3"/>
      <c r="E1" s="3"/>
      <c r="F1" s="4"/>
    </row>
    <row r="2" spans="1:9" ht="18" thickTop="1" thickBot="1" x14ac:dyDescent="0.45">
      <c r="A2" s="5" t="s">
        <v>1</v>
      </c>
      <c r="B2" s="1">
        <v>100</v>
      </c>
      <c r="E2" s="6"/>
      <c r="F2" s="7"/>
      <c r="H2" s="13" t="s">
        <v>5</v>
      </c>
      <c r="I2" s="14" t="s">
        <v>6</v>
      </c>
    </row>
    <row r="3" spans="1:9" ht="17.5" thickBot="1" x14ac:dyDescent="0.45">
      <c r="A3" s="8" t="s">
        <v>3</v>
      </c>
      <c r="B3" s="1">
        <v>0.23375000000000001</v>
      </c>
      <c r="D3">
        <v>1</v>
      </c>
      <c r="E3">
        <f>$B$2/(1+$B$3)^D3</f>
        <v>81.053698074974662</v>
      </c>
      <c r="F3" s="7"/>
      <c r="H3" s="8">
        <v>0</v>
      </c>
      <c r="I3" s="7">
        <v>-200</v>
      </c>
    </row>
    <row r="4" spans="1:9" ht="17.5" thickBot="1" x14ac:dyDescent="0.45">
      <c r="A4" s="9" t="s">
        <v>2</v>
      </c>
      <c r="B4" s="1">
        <v>200</v>
      </c>
      <c r="D4">
        <v>2</v>
      </c>
      <c r="E4">
        <f>$B$2/(1+$B$3)^D4</f>
        <v>65.697019716291507</v>
      </c>
      <c r="F4" s="7"/>
      <c r="H4" s="8">
        <v>1</v>
      </c>
      <c r="I4" s="7">
        <v>100</v>
      </c>
    </row>
    <row r="5" spans="1:9" x14ac:dyDescent="0.4">
      <c r="A5" s="8"/>
      <c r="D5">
        <v>3</v>
      </c>
      <c r="E5">
        <f t="shared" ref="E5" si="0">$B$2/(1+$B$3)^D5</f>
        <v>53.249864005099496</v>
      </c>
      <c r="F5" s="7"/>
      <c r="H5" s="8">
        <v>2</v>
      </c>
      <c r="I5" s="7">
        <v>100</v>
      </c>
    </row>
    <row r="6" spans="1:9" x14ac:dyDescent="0.4">
      <c r="A6" s="8"/>
      <c r="D6">
        <v>4</v>
      </c>
      <c r="F6" s="7"/>
      <c r="H6" s="8">
        <v>3</v>
      </c>
      <c r="I6" s="7">
        <v>100</v>
      </c>
    </row>
    <row r="7" spans="1:9" x14ac:dyDescent="0.4">
      <c r="A7" s="8"/>
      <c r="D7">
        <v>5</v>
      </c>
      <c r="F7" s="7"/>
      <c r="H7" s="8">
        <v>4</v>
      </c>
      <c r="I7" s="7"/>
    </row>
    <row r="8" spans="1:9" x14ac:dyDescent="0.4">
      <c r="A8" s="8"/>
      <c r="D8">
        <v>6</v>
      </c>
      <c r="F8" s="7"/>
      <c r="H8" s="8">
        <v>5</v>
      </c>
      <c r="I8" s="7"/>
    </row>
    <row r="9" spans="1:9" x14ac:dyDescent="0.4">
      <c r="A9" s="8"/>
      <c r="D9">
        <v>7</v>
      </c>
      <c r="F9" s="7"/>
      <c r="H9" s="8">
        <v>6</v>
      </c>
      <c r="I9" s="7"/>
    </row>
    <row r="10" spans="1:9" x14ac:dyDescent="0.4">
      <c r="A10" s="8"/>
      <c r="D10">
        <v>8</v>
      </c>
      <c r="F10" s="7"/>
      <c r="H10" s="8">
        <v>7</v>
      </c>
      <c r="I10" s="7"/>
    </row>
    <row r="11" spans="1:9" x14ac:dyDescent="0.4">
      <c r="A11" s="8"/>
      <c r="D11">
        <v>9</v>
      </c>
      <c r="F11" s="7"/>
      <c r="H11" s="8">
        <v>8</v>
      </c>
      <c r="I11" s="7"/>
    </row>
    <row r="12" spans="1:9" x14ac:dyDescent="0.4">
      <c r="A12" s="8"/>
      <c r="D12">
        <v>10</v>
      </c>
      <c r="F12" s="7"/>
      <c r="H12" s="8">
        <v>9</v>
      </c>
      <c r="I12" s="7"/>
    </row>
    <row r="13" spans="1:9" x14ac:dyDescent="0.4">
      <c r="A13" s="8"/>
      <c r="D13">
        <v>11</v>
      </c>
      <c r="F13" s="7"/>
      <c r="H13" s="8">
        <v>10</v>
      </c>
      <c r="I13" s="7"/>
    </row>
    <row r="14" spans="1:9" x14ac:dyDescent="0.4">
      <c r="A14" s="8"/>
      <c r="D14">
        <v>12</v>
      </c>
      <c r="F14" s="7"/>
      <c r="H14" s="8"/>
      <c r="I14" s="7"/>
    </row>
    <row r="15" spans="1:9" ht="17.5" thickBot="1" x14ac:dyDescent="0.45">
      <c r="A15" s="10"/>
      <c r="B15" s="11"/>
      <c r="C15" s="11"/>
      <c r="D15" s="11" t="s">
        <v>4</v>
      </c>
      <c r="E15" s="11">
        <f>SUM(E3:E14)-B4</f>
        <v>5.817963656795655E-4</v>
      </c>
      <c r="F15" s="12"/>
      <c r="H15" s="10" t="s">
        <v>7</v>
      </c>
      <c r="I15" s="15">
        <f>IRR(I3:I6)</f>
        <v>0.23375192852825655</v>
      </c>
    </row>
    <row r="16" spans="1:9" ht="17.5" thickTop="1" x14ac:dyDescent="0.4"/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黃愷言</dc:creator>
  <cp:lastModifiedBy>黃愷言</cp:lastModifiedBy>
  <dcterms:created xsi:type="dcterms:W3CDTF">2022-09-26T08:25:42Z</dcterms:created>
  <dcterms:modified xsi:type="dcterms:W3CDTF">2022-09-26T09:19:52Z</dcterms:modified>
</cp:coreProperties>
</file>